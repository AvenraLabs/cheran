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585"/>
  </bookViews>
  <sheets>
    <sheet name="Sheet1" sheetId="1" r:id="rId1"/>
    <sheet name="Sheet2" sheetId="2" r:id="rId2"/>
  </sheets>
  <definedNames>
    <definedName name="_xlnm._FilterDatabase" localSheetId="0" hidden="1">Sheet1!$L$4:$L$17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<sst xmlns="http://schemas.openxmlformats.org/spreadsheetml/2006/main" count="172" uniqueCount="98">
  <si>
    <t xml:space="preserve">  load no -2 </t>
  </si>
  <si>
    <t>AJITH AGRO AGENCIES</t>
  </si>
  <si>
    <t>FARMER DETAILS</t>
  </si>
  <si>
    <t>S.NO</t>
  </si>
  <si>
    <t>Application Id</t>
  </si>
  <si>
    <t>Farmer Name</t>
  </si>
  <si>
    <t>Father Name</t>
  </si>
  <si>
    <t>Block</t>
  </si>
  <si>
    <t>Village</t>
  </si>
  <si>
    <t>Area (Ha)</t>
  </si>
  <si>
    <t>Fittings</t>
  </si>
  <si>
    <t>Fitting 5% gst</t>
  </si>
  <si>
    <t>Fittings + gst</t>
  </si>
  <si>
    <t>Invoice Amount</t>
  </si>
  <si>
    <t>Material with GST</t>
  </si>
  <si>
    <t>H-DPR-dpr-8808954450-2026-27</t>
  </si>
  <si>
    <t>Saravanan</t>
  </si>
  <si>
    <t>palani</t>
  </si>
  <si>
    <t>Dharmapuri</t>
  </si>
  <si>
    <t>mitta noolahalli</t>
  </si>
  <si>
    <t>H-DPR-dpr-3389958369-2026-27</t>
  </si>
  <si>
    <t>Durai</t>
  </si>
  <si>
    <t>Nanjan</t>
  </si>
  <si>
    <t>H-DPR-dpr-6428267253-2025-26</t>
  </si>
  <si>
    <t>Manickam</t>
  </si>
  <si>
    <t>THambagounder</t>
  </si>
  <si>
    <t>H-DPR-dpr-2982091794-2025-26</t>
  </si>
  <si>
    <t>Gopal</t>
  </si>
  <si>
    <t>Ponnusamy</t>
  </si>
  <si>
    <t>H-DPR-dpr-5163271981-2025-26</t>
  </si>
  <si>
    <t>Devaraj</t>
  </si>
  <si>
    <t>Perumal</t>
  </si>
  <si>
    <t>H-DPR-dpr-4367120894-2026-27</t>
  </si>
  <si>
    <t>Chinnasamy</t>
  </si>
  <si>
    <t>Nallagounder</t>
  </si>
  <si>
    <t>Naickanahalli</t>
  </si>
  <si>
    <t>H-DPR-dpr-7548946111-2026-27</t>
  </si>
  <si>
    <t>Venu</t>
  </si>
  <si>
    <t>Duraisamy</t>
  </si>
  <si>
    <t>H-DPR-npy-6987569347-2026-27</t>
  </si>
  <si>
    <t>Ravi</t>
  </si>
  <si>
    <t>Prakasam</t>
  </si>
  <si>
    <t>Nallampalli</t>
  </si>
  <si>
    <t>Bolanahalli</t>
  </si>
  <si>
    <t>H-DPR-npy-5935518057-2026-27</t>
  </si>
  <si>
    <t>Sakthivel</t>
  </si>
  <si>
    <t>Sanjeevan</t>
  </si>
  <si>
    <t>H-DPR-npy-7546755883-2026-27</t>
  </si>
  <si>
    <t>Murugan</t>
  </si>
  <si>
    <t>Kandhasamy</t>
  </si>
  <si>
    <t>H-DPR-npy-5599847953-2026-27</t>
  </si>
  <si>
    <t>Ramachanderan</t>
  </si>
  <si>
    <t>palayan</t>
  </si>
  <si>
    <t>H-DPR-npy-7118316755-2026-27</t>
  </si>
  <si>
    <t>Subaramani</t>
  </si>
  <si>
    <t>Sithan</t>
  </si>
  <si>
    <t>dokkubothanahalli</t>
  </si>
  <si>
    <t>H-DPR-npy-830976349-2026-27</t>
  </si>
  <si>
    <t>Subbarayan</t>
  </si>
  <si>
    <t>MATERIALS  DETAILS</t>
  </si>
  <si>
    <t>S NO</t>
  </si>
  <si>
    <t>COMPONENTS</t>
  </si>
  <si>
    <t>UNITS</t>
  </si>
  <si>
    <t>QTY</t>
  </si>
  <si>
    <t>RATE</t>
  </si>
  <si>
    <t>TOTAL</t>
  </si>
  <si>
    <r>
      <rPr>
        <sz val="11"/>
        <color theme="1"/>
        <rFont val="Calibri"/>
        <charset val="134"/>
        <scheme val="minor"/>
      </rPr>
      <t>EMITING PIPE 16MM*</t>
    </r>
    <r>
      <rPr>
        <sz val="11"/>
        <color rgb="FFFF0000"/>
        <rFont val="Calibri"/>
        <charset val="134"/>
        <scheme val="minor"/>
      </rPr>
      <t>60CM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rgb="FFFF0000"/>
        <rFont val="Calibri"/>
        <charset val="134"/>
        <scheme val="minor"/>
      </rPr>
      <t>4LIT</t>
    </r>
    <r>
      <rPr>
        <sz val="11"/>
        <color theme="1"/>
        <rFont val="Calibri"/>
        <charset val="134"/>
        <scheme val="minor"/>
      </rPr>
      <t xml:space="preserve"> (</t>
    </r>
    <r>
      <rPr>
        <sz val="11"/>
        <color rgb="FFFF0000"/>
        <rFont val="Calibri"/>
        <charset val="134"/>
        <scheme val="minor"/>
      </rPr>
      <t>FLOT</t>
    </r>
    <r>
      <rPr>
        <sz val="11"/>
        <color theme="1"/>
        <rFont val="Calibri"/>
        <charset val="134"/>
        <scheme val="minor"/>
      </rPr>
      <t>)</t>
    </r>
  </si>
  <si>
    <t>MTR</t>
  </si>
  <si>
    <r>
      <rPr>
        <sz val="11"/>
        <color theme="1"/>
        <rFont val="Calibri"/>
        <charset val="134"/>
        <scheme val="minor"/>
      </rPr>
      <t>EMITING PIPE 16MM*</t>
    </r>
    <r>
      <rPr>
        <sz val="11"/>
        <color rgb="FF00B050"/>
        <rFont val="Calibri"/>
        <charset val="134"/>
        <scheme val="minor"/>
      </rPr>
      <t>60CM 4LIT(ROUND)</t>
    </r>
  </si>
  <si>
    <r>
      <rPr>
        <sz val="11"/>
        <color theme="1"/>
        <rFont val="Calibri"/>
        <charset val="134"/>
        <scheme val="minor"/>
      </rPr>
      <t>EMITING PIPE 16MM*</t>
    </r>
    <r>
      <rPr>
        <sz val="11"/>
        <color rgb="FF00B050"/>
        <rFont val="Calibri"/>
        <charset val="134"/>
        <scheme val="minor"/>
      </rPr>
      <t>40CM 4LIT(ROUND)</t>
    </r>
  </si>
  <si>
    <r>
      <rPr>
        <sz val="11"/>
        <color theme="1"/>
        <rFont val="Calibri"/>
        <charset val="134"/>
        <scheme val="minor"/>
      </rPr>
      <t>EMITING PIPE 16MM*</t>
    </r>
    <r>
      <rPr>
        <sz val="11"/>
        <color rgb="FFFF0000"/>
        <rFont val="Calibri"/>
        <charset val="134"/>
        <scheme val="minor"/>
      </rPr>
      <t>40CM 4LIT(FLOT)</t>
    </r>
  </si>
  <si>
    <t>PLAIN LATERAL 16 MM (300MTR)</t>
  </si>
  <si>
    <t>SCREEN FILTER 63 MM</t>
  </si>
  <si>
    <t>NOS</t>
  </si>
  <si>
    <t>THROTTAL VALVE 63 MM</t>
  </si>
  <si>
    <t>VENTURY 63 MM</t>
  </si>
  <si>
    <t>PVC PIPE 63 MM</t>
  </si>
  <si>
    <t>PVC PIPE 75 MM</t>
  </si>
  <si>
    <t>AIR RELEASE VALVU 1"</t>
  </si>
  <si>
    <t>CONTROL VALVE 75 MM</t>
  </si>
  <si>
    <t>CONTROL VALVE 63 MM</t>
  </si>
  <si>
    <t>FLUSH VALVE 63 MM</t>
  </si>
  <si>
    <t>NON RETURN VALVE 63 MM</t>
  </si>
  <si>
    <t>BY PASS ASSEMBLY 63 MM</t>
  </si>
  <si>
    <t>GST 5%</t>
  </si>
  <si>
    <t>GOI METRIAL</t>
  </si>
  <si>
    <r>
      <rPr>
        <sz val="11"/>
        <color theme="1"/>
        <rFont val="Calibri"/>
        <charset val="134"/>
        <scheme val="minor"/>
      </rPr>
      <t>EMITING PIPE 16MM*</t>
    </r>
    <r>
      <rPr>
        <sz val="11"/>
        <color rgb="FFFF0000"/>
        <rFont val="Calibri"/>
        <charset val="134"/>
        <scheme val="minor"/>
      </rPr>
      <t>60CM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rgb="FFFF0000"/>
        <rFont val="Calibri"/>
        <charset val="134"/>
        <scheme val="minor"/>
      </rPr>
      <t>4LIT</t>
    </r>
  </si>
  <si>
    <r>
      <rPr>
        <sz val="11"/>
        <color theme="1"/>
        <rFont val="Calibri"/>
        <charset val="134"/>
        <scheme val="minor"/>
      </rPr>
      <t>EMITING PIPE 12MM*</t>
    </r>
    <r>
      <rPr>
        <sz val="11"/>
        <color rgb="FFFF0000"/>
        <rFont val="Calibri"/>
        <charset val="134"/>
        <scheme val="minor"/>
      </rPr>
      <t>60CM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rgb="FFFF0000"/>
        <rFont val="Calibri"/>
        <charset val="134"/>
        <scheme val="minor"/>
      </rPr>
      <t>4LIT</t>
    </r>
  </si>
  <si>
    <t>EMITING PIPE 16MM*40CM 4LIT</t>
  </si>
  <si>
    <t>SCREEN FILTER 50 MM</t>
  </si>
  <si>
    <t xml:space="preserve">VENTURY 1.5" </t>
  </si>
  <si>
    <t>PVC PIPE 50 MM</t>
  </si>
  <si>
    <t xml:space="preserve"> </t>
  </si>
  <si>
    <t>CONTROL VALVE 50 MM</t>
  </si>
  <si>
    <t>FLUSH VALVE 50 MM</t>
  </si>
  <si>
    <t>NON RETURN VALVE 1.5 INCH</t>
  </si>
  <si>
    <t>BY PASS ASSEMBLY 1.5 X1.5 INCH</t>
  </si>
  <si>
    <t>TOTAL (A)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</si>
</sst>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0.00_ "/>
  </numFmts>
  <fonts count="32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B0F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B05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80" fontId="1" fillId="0" borderId="0" xfId="0" applyNumberFormat="1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81" fontId="0" fillId="0" borderId="1" xfId="0" applyNumberForma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9" fontId="0" fillId="0" borderId="1" xfId="0" applyNumberFormat="1" applyBorder="1"/>
    <xf numFmtId="0" fontId="2" fillId="0" borderId="1" xfId="0" applyFont="1" applyBorder="1"/>
    <xf numFmtId="180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7" fillId="0" borderId="0" xfId="6" applyFont="1"/>
    <xf numFmtId="0" fontId="0" fillId="0" borderId="1" xfId="0" applyFont="1" applyBorder="1" applyAlignment="1">
      <alignment wrapText="1"/>
    </xf>
    <xf numFmtId="0" fontId="0" fillId="0" borderId="1" xfId="0" applyFont="1" applyBorder="1"/>
    <xf numFmtId="181" fontId="0" fillId="0" borderId="1" xfId="0" applyNumberFormat="1" applyBorder="1" applyAlignment="1">
      <alignment vertical="center"/>
    </xf>
    <xf numFmtId="18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80" fontId="0" fillId="0" borderId="0" xfId="0" applyNumberFormat="1"/>
    <xf numFmtId="0" fontId="0" fillId="0" borderId="1" xfId="0" applyFont="1" applyBorder="1" applyAlignment="1">
      <alignment horizontal="left" wrapText="1"/>
    </xf>
    <xf numFmtId="181" fontId="0" fillId="0" borderId="1" xfId="0" applyNumberFormat="1" applyBorder="1" applyAlignment="1">
      <alignment horizontal="left" vertical="center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wrapText="1"/>
    </xf>
    <xf numFmtId="181" fontId="0" fillId="0" borderId="1" xfId="0" applyNumberFormat="1" applyFont="1" applyBorder="1"/>
    <xf numFmtId="0" fontId="0" fillId="0" borderId="1" xfId="0" applyFont="1" applyBorder="1" applyAlignment="1">
      <alignment horizontal="left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81" fontId="8" fillId="0" borderId="1" xfId="0" applyNumberFormat="1" applyFont="1" applyBorder="1" applyAlignment="1">
      <alignment vertical="center"/>
    </xf>
    <xf numFmtId="180" fontId="2" fillId="0" borderId="1" xfId="0" applyNumberFormat="1" applyFont="1" applyBorder="1" applyAlignment="1">
      <alignment horizontal="left" vertical="center"/>
    </xf>
    <xf numFmtId="180" fontId="8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180" fontId="6" fillId="0" borderId="0" xfId="0" applyNumberFormat="1" applyFont="1" applyAlignment="1">
      <alignment vertical="center"/>
    </xf>
    <xf numFmtId="0" fontId="0" fillId="0" borderId="1" xfId="0" applyBorder="1" applyAlignment="1">
      <alignment horizontal="right"/>
    </xf>
    <xf numFmtId="0" fontId="0" fillId="0" borderId="0" xfId="0" applyFont="1"/>
    <xf numFmtId="180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43"/>
  <sheetViews>
    <sheetView tabSelected="1" topLeftCell="A10" workbookViewId="0">
      <selection activeCell="G17" sqref="G17"/>
    </sheetView>
  </sheetViews>
  <sheetFormatPr defaultColWidth="9" defaultRowHeight="15"/>
  <cols>
    <col min="1" max="1" width="5.85714285714286" style="9" customWidth="1"/>
    <col min="2" max="2" width="36.2857142857143" style="9" customWidth="1"/>
    <col min="3" max="3" width="16.1428571428571" style="9" customWidth="1"/>
    <col min="4" max="4" width="15" style="9" customWidth="1"/>
    <col min="5" max="5" width="12" style="9" customWidth="1"/>
    <col min="6" max="6" width="15.7142857142857" style="9" customWidth="1"/>
    <col min="7" max="7" width="13" style="9" customWidth="1"/>
    <col min="8" max="8" width="9.42857142857143" style="10" customWidth="1"/>
    <col min="9" max="9" width="9.57142857142857" style="10" customWidth="1"/>
    <col min="10" max="10" width="10.5714285714286" customWidth="1"/>
    <col min="11" max="11" width="10.7142857142857" customWidth="1"/>
    <col min="12" max="12" width="11.7142857142857" customWidth="1"/>
    <col min="13" max="13" width="10.5714285714286"/>
    <col min="14" max="14" width="11.4285714285714"/>
  </cols>
  <sheetData>
    <row r="2" s="1" customFormat="1" ht="24" customHeight="1" spans="1:13">
      <c r="A2" s="22"/>
      <c r="B2" s="23" t="s">
        <v>0</v>
      </c>
      <c r="C2" s="23" t="s">
        <v>1</v>
      </c>
      <c r="D2" s="23"/>
      <c r="E2" s="24" t="s">
        <v>2</v>
      </c>
      <c r="F2" s="25"/>
      <c r="G2" s="23"/>
      <c r="H2" s="26"/>
      <c r="I2" s="26"/>
      <c r="J2" s="27"/>
      <c r="K2" s="27"/>
      <c r="L2" s="27"/>
    </row>
    <row r="3" s="18" customFormat="1" ht="45.75" customHeight="1" spans="1:13">
      <c r="A3" s="23" t="s">
        <v>3</v>
      </c>
      <c r="B3" s="28" t="s">
        <v>4</v>
      </c>
      <c r="C3" s="28" t="s">
        <v>5</v>
      </c>
      <c r="D3" s="28" t="s">
        <v>6</v>
      </c>
      <c r="E3" s="28" t="s">
        <v>7</v>
      </c>
      <c r="F3" s="28" t="s">
        <v>8</v>
      </c>
      <c r="G3" s="28" t="s">
        <v>9</v>
      </c>
      <c r="H3" s="29" t="s">
        <v>10</v>
      </c>
      <c r="I3" s="28" t="s">
        <v>11</v>
      </c>
      <c r="J3" s="30" t="s">
        <v>12</v>
      </c>
      <c r="K3" s="30" t="s">
        <v>13</v>
      </c>
      <c r="L3" s="30" t="s">
        <v>14</v>
      </c>
    </row>
    <row r="4" ht="30" customHeight="1" spans="1:13">
      <c r="A4" s="2">
        <v>1</v>
      </c>
      <c r="B4" s="31" t="s">
        <v>15</v>
      </c>
      <c r="C4" s="32" t="s">
        <v>16</v>
      </c>
      <c r="D4" s="33" t="s">
        <v>17</v>
      </c>
      <c r="E4" s="2" t="s">
        <v>18</v>
      </c>
      <c r="F4" s="33" t="s">
        <v>19</v>
      </c>
      <c r="G4" s="34">
        <v>1.04</v>
      </c>
      <c r="H4" s="35">
        <v>5975.71</v>
      </c>
      <c r="I4" s="35">
        <f>H4*5%</f>
        <v>298.7855</v>
      </c>
      <c r="J4" s="35">
        <f>H4+I4</f>
        <v>6274.4955</v>
      </c>
      <c r="K4" s="36">
        <v>131764.46</v>
      </c>
      <c r="L4" s="35">
        <f>K4-J4</f>
        <v>125489.9645</v>
      </c>
    </row>
    <row r="5" ht="23.25" customHeight="1" spans="1:13">
      <c r="A5" s="33">
        <v>2</v>
      </c>
      <c r="B5" s="31" t="s">
        <v>20</v>
      </c>
      <c r="C5" s="33" t="s">
        <v>21</v>
      </c>
      <c r="D5" s="33" t="s">
        <v>22</v>
      </c>
      <c r="E5" s="2" t="s">
        <v>18</v>
      </c>
      <c r="F5" s="33" t="s">
        <v>19</v>
      </c>
      <c r="G5" s="37">
        <v>1.2</v>
      </c>
      <c r="H5" s="36">
        <v>6781.11</v>
      </c>
      <c r="I5" s="35">
        <f t="shared" ref="I5:I18" si="0">H5*5%</f>
        <v>339.0555</v>
      </c>
      <c r="J5" s="35">
        <f>H5+I5</f>
        <v>7120.1655</v>
      </c>
      <c r="K5" s="36">
        <v>149523.53</v>
      </c>
      <c r="L5" s="36">
        <f>K5-J5</f>
        <v>142403.3645</v>
      </c>
    </row>
    <row r="6" ht="23.25" customHeight="1" spans="1:13">
      <c r="A6" s="2">
        <v>3</v>
      </c>
      <c r="B6" s="31" t="s">
        <v>23</v>
      </c>
      <c r="C6" s="33" t="s">
        <v>24</v>
      </c>
      <c r="D6" s="33" t="s">
        <v>25</v>
      </c>
      <c r="E6" s="2" t="s">
        <v>18</v>
      </c>
      <c r="F6" s="33" t="s">
        <v>19</v>
      </c>
      <c r="G6" s="34">
        <v>0.66</v>
      </c>
      <c r="H6" s="36">
        <v>3665.55</v>
      </c>
      <c r="I6" s="35">
        <f t="shared" si="0"/>
        <v>183.2775</v>
      </c>
      <c r="J6" s="35">
        <f t="shared" ref="J6:J17" si="1">H6+I6</f>
        <v>3848.8275</v>
      </c>
      <c r="K6" s="36">
        <v>80825.38</v>
      </c>
      <c r="L6" s="35">
        <f t="shared" ref="L5:L18" si="2">K6-J6</f>
        <v>76976.5525</v>
      </c>
      <c r="M6" s="38"/>
    </row>
    <row r="7" ht="27.95" customHeight="1" spans="1:13">
      <c r="A7" s="2">
        <v>4</v>
      </c>
      <c r="B7" s="31" t="s">
        <v>26</v>
      </c>
      <c r="C7" s="39" t="s">
        <v>27</v>
      </c>
      <c r="D7" s="33" t="s">
        <v>28</v>
      </c>
      <c r="E7" s="2" t="s">
        <v>18</v>
      </c>
      <c r="F7" s="32" t="s">
        <v>19</v>
      </c>
      <c r="G7" s="37">
        <v>0.53</v>
      </c>
      <c r="H7" s="36">
        <v>2858.5</v>
      </c>
      <c r="I7" s="35">
        <f t="shared" si="0"/>
        <v>142.925</v>
      </c>
      <c r="J7" s="35">
        <f t="shared" si="1"/>
        <v>3001.425</v>
      </c>
      <c r="K7" s="36">
        <v>63029.93</v>
      </c>
      <c r="L7" s="35">
        <f t="shared" si="2"/>
        <v>60028.505</v>
      </c>
    </row>
    <row r="8" ht="23.25" customHeight="1" spans="1:13">
      <c r="A8" s="2">
        <v>5</v>
      </c>
      <c r="B8" s="31" t="s">
        <v>29</v>
      </c>
      <c r="C8" s="33" t="s">
        <v>30</v>
      </c>
      <c r="D8" s="33" t="s">
        <v>31</v>
      </c>
      <c r="E8" s="2" t="s">
        <v>18</v>
      </c>
      <c r="F8" s="33" t="s">
        <v>19</v>
      </c>
      <c r="G8" s="37">
        <v>0.93</v>
      </c>
      <c r="H8" s="36">
        <v>5341.51</v>
      </c>
      <c r="I8" s="35">
        <f t="shared" si="0"/>
        <v>267.0755</v>
      </c>
      <c r="J8" s="35">
        <f t="shared" si="1"/>
        <v>5608.5855</v>
      </c>
      <c r="K8" s="40">
        <v>117780.4</v>
      </c>
      <c r="L8" s="35">
        <f t="shared" si="2"/>
        <v>112171.8145</v>
      </c>
    </row>
    <row r="9" ht="23.25" customHeight="1" spans="1:13">
      <c r="A9" s="2">
        <v>6</v>
      </c>
      <c r="B9" s="31" t="s">
        <v>32</v>
      </c>
      <c r="C9" s="33" t="s">
        <v>33</v>
      </c>
      <c r="D9" s="33" t="s">
        <v>34</v>
      </c>
      <c r="E9" s="2" t="s">
        <v>18</v>
      </c>
      <c r="F9" s="33" t="s">
        <v>35</v>
      </c>
      <c r="G9" s="37">
        <v>0.95</v>
      </c>
      <c r="H9" s="36">
        <v>5465.63</v>
      </c>
      <c r="I9" s="35">
        <f t="shared" si="0"/>
        <v>273.2815</v>
      </c>
      <c r="J9" s="35">
        <f t="shared" si="1"/>
        <v>5738.9115</v>
      </c>
      <c r="K9" s="40">
        <v>120517.14</v>
      </c>
      <c r="L9" s="35">
        <f t="shared" si="2"/>
        <v>114778.2285</v>
      </c>
    </row>
    <row r="10" ht="23.25" customHeight="1" spans="1:13">
      <c r="A10" s="2">
        <v>7</v>
      </c>
      <c r="B10" s="31" t="s">
        <v>36</v>
      </c>
      <c r="C10" s="33" t="s">
        <v>37</v>
      </c>
      <c r="D10" s="33" t="s">
        <v>38</v>
      </c>
      <c r="E10" s="33" t="s">
        <v>18</v>
      </c>
      <c r="F10" s="33" t="s">
        <v>35</v>
      </c>
      <c r="G10" s="37">
        <v>0.78</v>
      </c>
      <c r="H10" s="40">
        <v>4410.21</v>
      </c>
      <c r="I10" s="35">
        <f t="shared" si="0"/>
        <v>220.5105</v>
      </c>
      <c r="J10" s="35">
        <f t="shared" si="1"/>
        <v>4630.7205</v>
      </c>
      <c r="K10" s="40">
        <v>97245.18</v>
      </c>
      <c r="L10" s="35">
        <f t="shared" si="2"/>
        <v>92614.4595</v>
      </c>
    </row>
    <row r="11" ht="23.25" customHeight="1" spans="1:13">
      <c r="A11" s="2">
        <v>8</v>
      </c>
      <c r="B11" s="31" t="s">
        <v>39</v>
      </c>
      <c r="C11" s="33" t="s">
        <v>40</v>
      </c>
      <c r="D11" s="33" t="s">
        <v>41</v>
      </c>
      <c r="E11" s="33" t="s">
        <v>42</v>
      </c>
      <c r="F11" s="33" t="s">
        <v>43</v>
      </c>
      <c r="G11" s="37">
        <v>0.53</v>
      </c>
      <c r="H11" s="40">
        <v>2858.37</v>
      </c>
      <c r="I11" s="35">
        <f t="shared" si="0"/>
        <v>142.9185</v>
      </c>
      <c r="J11" s="35">
        <f t="shared" si="1"/>
        <v>3001.2885</v>
      </c>
      <c r="K11" s="40">
        <v>63027.16</v>
      </c>
      <c r="L11" s="35">
        <f t="shared" si="2"/>
        <v>60025.8715</v>
      </c>
    </row>
    <row r="12" ht="23.25" customHeight="1" spans="1:13">
      <c r="A12" s="2">
        <v>9</v>
      </c>
      <c r="B12" s="31" t="s">
        <v>44</v>
      </c>
      <c r="C12" s="33" t="s">
        <v>45</v>
      </c>
      <c r="D12" s="33" t="s">
        <v>46</v>
      </c>
      <c r="E12" s="33" t="s">
        <v>42</v>
      </c>
      <c r="F12" s="33" t="s">
        <v>43</v>
      </c>
      <c r="G12" s="37">
        <v>0.94</v>
      </c>
      <c r="H12" s="36">
        <v>5257.16</v>
      </c>
      <c r="I12" s="35">
        <f t="shared" si="0"/>
        <v>262.858</v>
      </c>
      <c r="J12" s="35">
        <f t="shared" si="1"/>
        <v>5520.018</v>
      </c>
      <c r="K12" s="40">
        <v>115920.38</v>
      </c>
      <c r="L12" s="35">
        <f t="shared" si="2"/>
        <v>110400.362</v>
      </c>
    </row>
    <row r="13" ht="23.25" customHeight="1" spans="1:13">
      <c r="A13" s="2">
        <v>10</v>
      </c>
      <c r="B13" s="31" t="s">
        <v>47</v>
      </c>
      <c r="C13" s="33" t="s">
        <v>48</v>
      </c>
      <c r="D13" s="33" t="s">
        <v>49</v>
      </c>
      <c r="E13" s="33" t="s">
        <v>42</v>
      </c>
      <c r="F13" s="33" t="s">
        <v>43</v>
      </c>
      <c r="G13" s="37">
        <v>0.57</v>
      </c>
      <c r="H13" s="36">
        <v>3106.67</v>
      </c>
      <c r="I13" s="35">
        <f t="shared" si="0"/>
        <v>155.3335</v>
      </c>
      <c r="J13" s="35">
        <f t="shared" si="1"/>
        <v>3262.0035</v>
      </c>
      <c r="K13" s="40">
        <v>68502.18</v>
      </c>
      <c r="L13" s="35">
        <f t="shared" si="2"/>
        <v>65240.1765</v>
      </c>
    </row>
    <row r="14" customFormat="1" ht="23.25" customHeight="1" spans="1:13">
      <c r="A14" s="2">
        <v>11</v>
      </c>
      <c r="B14" s="31" t="s">
        <v>50</v>
      </c>
      <c r="C14" s="33" t="s">
        <v>51</v>
      </c>
      <c r="D14" s="33" t="s">
        <v>33</v>
      </c>
      <c r="E14" s="33" t="s">
        <v>42</v>
      </c>
      <c r="F14" s="33" t="s">
        <v>52</v>
      </c>
      <c r="G14" s="37">
        <v>1.16</v>
      </c>
      <c r="H14" s="36">
        <v>6583.11</v>
      </c>
      <c r="I14" s="35">
        <f t="shared" si="0"/>
        <v>329.1555</v>
      </c>
      <c r="J14" s="35">
        <f t="shared" si="1"/>
        <v>6912.2655</v>
      </c>
      <c r="K14" s="40">
        <v>145157.63</v>
      </c>
      <c r="L14" s="35">
        <f t="shared" si="2"/>
        <v>138245.3645</v>
      </c>
    </row>
    <row r="15" customFormat="1" ht="23.25" customHeight="1" spans="1:13">
      <c r="A15" s="2">
        <v>12</v>
      </c>
      <c r="B15" s="31" t="s">
        <v>53</v>
      </c>
      <c r="C15" s="33" t="s">
        <v>54</v>
      </c>
      <c r="D15" s="33" t="s">
        <v>55</v>
      </c>
      <c r="E15" s="33" t="s">
        <v>42</v>
      </c>
      <c r="F15" s="33" t="s">
        <v>56</v>
      </c>
      <c r="G15" s="37">
        <v>0.58</v>
      </c>
      <c r="H15" s="36">
        <v>3168.68</v>
      </c>
      <c r="I15" s="35">
        <f t="shared" si="0"/>
        <v>158.434</v>
      </c>
      <c r="J15" s="35">
        <f t="shared" si="1"/>
        <v>3327.114</v>
      </c>
      <c r="K15" s="40">
        <v>69869.5</v>
      </c>
      <c r="L15" s="35">
        <f t="shared" si="2"/>
        <v>66542.386</v>
      </c>
    </row>
    <row r="16" s="19" customFormat="1" ht="23.25" customHeight="1" spans="1:13">
      <c r="A16" s="33">
        <v>13</v>
      </c>
      <c r="B16" s="31" t="s">
        <v>57</v>
      </c>
      <c r="C16" s="41" t="s">
        <v>49</v>
      </c>
      <c r="D16" s="42" t="s">
        <v>58</v>
      </c>
      <c r="E16" s="42" t="s">
        <v>42</v>
      </c>
      <c r="F16" s="42" t="s">
        <v>43</v>
      </c>
      <c r="G16" s="43">
        <v>0.45</v>
      </c>
      <c r="H16" s="44">
        <v>2356.64</v>
      </c>
      <c r="I16" s="35">
        <f t="shared" si="0"/>
        <v>117.832</v>
      </c>
      <c r="J16" s="35">
        <f t="shared" si="1"/>
        <v>2474.472</v>
      </c>
      <c r="K16" s="40">
        <v>51963.91</v>
      </c>
      <c r="L16" s="35">
        <f t="shared" si="2"/>
        <v>49489.438</v>
      </c>
    </row>
    <row r="17" s="20" customFormat="1" ht="23.25" customHeight="1" spans="1:14">
      <c r="A17" s="45"/>
      <c r="B17" s="46"/>
      <c r="C17" s="47"/>
      <c r="D17" s="48"/>
      <c r="E17" s="48"/>
      <c r="F17" s="48"/>
      <c r="G17" s="49">
        <f>SUM(G4:G16)</f>
        <v>10.32</v>
      </c>
      <c r="H17" s="50">
        <f>SUM(H4:H16)</f>
        <v>57828.85</v>
      </c>
      <c r="I17" s="51">
        <f>H17*5%</f>
        <v>2891.4425</v>
      </c>
      <c r="J17" s="50">
        <f>SUM(J4:J16)</f>
        <v>60720.2925</v>
      </c>
      <c r="K17" s="52">
        <f>SUM(K4:K16)</f>
        <v>1275126.78</v>
      </c>
      <c r="L17" s="50">
        <f>K17-J17</f>
        <v>1214406.4875</v>
      </c>
    </row>
    <row r="18" s="21" customFormat="1" ht="23.25" customHeight="1" spans="1:14">
      <c r="A18" s="9"/>
      <c r="B18" s="53"/>
      <c r="C18" s="53"/>
      <c r="D18" s="53"/>
      <c r="E18" s="53"/>
      <c r="F18" s="53"/>
      <c r="G18" s="53"/>
      <c r="H18" s="54"/>
      <c r="I18" s="54"/>
      <c r="J18" s="10"/>
      <c r="K18" s="54"/>
      <c r="L18" s="10"/>
      <c r="N18" s="55"/>
    </row>
    <row r="20" s="1" customFormat="1" ht="21" customHeight="1" spans="1:14">
      <c r="A20" s="2"/>
      <c r="B20" s="3" t="s">
        <v>59</v>
      </c>
      <c r="C20" s="3"/>
      <c r="D20" s="3"/>
      <c r="E20" s="3"/>
      <c r="F20" s="3"/>
      <c r="G20" s="4"/>
      <c r="H20" s="5"/>
      <c r="I20" s="5"/>
      <c r="L20" s="6"/>
    </row>
    <row r="21" s="1" customFormat="1" ht="21.95" customHeight="1" spans="1:14">
      <c r="A21" s="7" t="s">
        <v>60</v>
      </c>
      <c r="B21" s="7" t="s">
        <v>61</v>
      </c>
      <c r="C21" s="7" t="s">
        <v>62</v>
      </c>
      <c r="D21" s="7" t="s">
        <v>63</v>
      </c>
      <c r="E21" s="7" t="s">
        <v>64</v>
      </c>
      <c r="F21" s="7" t="s">
        <v>65</v>
      </c>
      <c r="G21" s="4"/>
      <c r="H21" s="5"/>
      <c r="I21" s="5"/>
      <c r="K21" s="6"/>
    </row>
    <row r="22" ht="18.75" customHeight="1" spans="1:14">
      <c r="A22" s="2">
        <v>1</v>
      </c>
      <c r="B22" s="2" t="s">
        <v>66</v>
      </c>
      <c r="C22" s="8" t="s">
        <v>67</v>
      </c>
      <c r="D22" s="56">
        <v>0</v>
      </c>
      <c r="E22" s="2">
        <v>10.85</v>
      </c>
      <c r="F22" s="2">
        <f>D22*E22</f>
        <v>0</v>
      </c>
      <c r="L22" s="38"/>
    </row>
    <row r="23" ht="18.75" customHeight="1" spans="1:14">
      <c r="A23" s="2">
        <v>2</v>
      </c>
      <c r="B23" s="33" t="s">
        <v>68</v>
      </c>
      <c r="C23" s="8" t="s">
        <v>67</v>
      </c>
      <c r="D23" s="2">
        <v>57000</v>
      </c>
      <c r="E23" s="2">
        <v>10.85</v>
      </c>
      <c r="F23" s="2">
        <f t="shared" ref="F23:F36" si="3">D23*E23</f>
        <v>618450</v>
      </c>
      <c r="G23" s="9">
        <f>D22+D23+D24+D25</f>
        <v>73900</v>
      </c>
    </row>
    <row r="24" ht="18.75" customHeight="1" spans="1:14">
      <c r="A24" s="2">
        <v>3</v>
      </c>
      <c r="B24" s="2" t="s">
        <v>69</v>
      </c>
      <c r="C24" s="8" t="s">
        <v>67</v>
      </c>
      <c r="D24" s="2">
        <v>15900</v>
      </c>
      <c r="E24" s="2">
        <v>11.3</v>
      </c>
      <c r="F24" s="2">
        <f t="shared" si="3"/>
        <v>179670</v>
      </c>
    </row>
    <row r="25" ht="18.75" customHeight="1" spans="1:14">
      <c r="A25" s="2">
        <v>4</v>
      </c>
      <c r="B25" s="33" t="s">
        <v>70</v>
      </c>
      <c r="C25" s="8" t="s">
        <v>67</v>
      </c>
      <c r="D25" s="2">
        <v>1000</v>
      </c>
      <c r="E25" s="2">
        <v>11.3</v>
      </c>
      <c r="F25" s="2">
        <f t="shared" si="3"/>
        <v>11300</v>
      </c>
    </row>
    <row r="26" ht="18.75" customHeight="1" spans="1:14">
      <c r="A26" s="2">
        <v>5</v>
      </c>
      <c r="B26" s="2" t="s">
        <v>71</v>
      </c>
      <c r="C26" s="8" t="s">
        <v>67</v>
      </c>
      <c r="D26" s="2">
        <v>6900</v>
      </c>
      <c r="E26" s="2">
        <v>10.85</v>
      </c>
      <c r="F26" s="2">
        <f t="shared" si="3"/>
        <v>74865</v>
      </c>
      <c r="G26" s="9">
        <f>F22+F23+F24+F25+F26</f>
        <v>884285</v>
      </c>
      <c r="K26" s="19"/>
    </row>
    <row r="27" ht="18.75" customHeight="1" spans="1:14">
      <c r="A27" s="2">
        <v>6</v>
      </c>
      <c r="B27" s="2" t="s">
        <v>72</v>
      </c>
      <c r="C27" s="12" t="s">
        <v>73</v>
      </c>
      <c r="D27" s="2">
        <v>10</v>
      </c>
      <c r="E27" s="2">
        <v>2400</v>
      </c>
      <c r="F27" s="2">
        <f t="shared" si="3"/>
        <v>24000</v>
      </c>
      <c r="K27" s="19"/>
    </row>
    <row r="28" ht="18.75" customHeight="1" spans="1:14">
      <c r="A28" s="2">
        <v>7</v>
      </c>
      <c r="B28" s="2" t="s">
        <v>74</v>
      </c>
      <c r="C28" s="8" t="s">
        <v>73</v>
      </c>
      <c r="D28" s="2">
        <v>10</v>
      </c>
      <c r="E28" s="2">
        <v>800</v>
      </c>
      <c r="F28" s="2">
        <f t="shared" si="3"/>
        <v>8000</v>
      </c>
      <c r="K28" s="19"/>
    </row>
    <row r="29" ht="18.75" customHeight="1" spans="1:14">
      <c r="A29" s="2">
        <v>8</v>
      </c>
      <c r="B29" s="2" t="s">
        <v>75</v>
      </c>
      <c r="C29" s="12" t="s">
        <v>73</v>
      </c>
      <c r="D29" s="2">
        <v>10</v>
      </c>
      <c r="E29" s="2">
        <v>2500</v>
      </c>
      <c r="F29" s="2">
        <f t="shared" si="3"/>
        <v>25000</v>
      </c>
      <c r="G29"/>
      <c r="H29" s="57"/>
      <c r="I29" s="57"/>
    </row>
    <row r="30" ht="18.75" customHeight="1" spans="1:14">
      <c r="A30" s="2">
        <v>9</v>
      </c>
      <c r="B30" s="2" t="s">
        <v>76</v>
      </c>
      <c r="C30" s="8" t="s">
        <v>67</v>
      </c>
      <c r="D30" s="2">
        <v>1800</v>
      </c>
      <c r="E30" s="2">
        <v>80</v>
      </c>
      <c r="F30" s="2">
        <f t="shared" si="3"/>
        <v>144000</v>
      </c>
      <c r="G30" s="38"/>
      <c r="H30" s="57"/>
      <c r="I30" s="57"/>
    </row>
    <row r="31" ht="18.75" customHeight="1" spans="1:14">
      <c r="A31" s="2">
        <v>10</v>
      </c>
      <c r="B31" s="2" t="s">
        <v>77</v>
      </c>
      <c r="C31" s="8" t="s">
        <v>67</v>
      </c>
      <c r="D31" s="2">
        <v>450</v>
      </c>
      <c r="E31" s="2">
        <v>117</v>
      </c>
      <c r="F31" s="2">
        <f t="shared" si="3"/>
        <v>52650</v>
      </c>
      <c r="G31"/>
      <c r="H31"/>
      <c r="I31"/>
      <c r="J31" s="12"/>
      <c r="K31" s="38"/>
    </row>
    <row r="32" ht="18.75" customHeight="1" spans="1:14">
      <c r="A32" s="2">
        <v>11</v>
      </c>
      <c r="B32" s="2" t="s">
        <v>78</v>
      </c>
      <c r="C32" s="8" t="s">
        <v>73</v>
      </c>
      <c r="D32" s="2">
        <v>10</v>
      </c>
      <c r="E32" s="2">
        <v>125</v>
      </c>
      <c r="F32" s="2">
        <f t="shared" si="3"/>
        <v>1250</v>
      </c>
      <c r="G32" s="13"/>
      <c r="K32" s="12"/>
    </row>
    <row r="33" ht="18.75" customHeight="1" spans="1:12">
      <c r="A33" s="2">
        <v>12</v>
      </c>
      <c r="B33" s="33" t="s">
        <v>79</v>
      </c>
      <c r="C33" s="8" t="s">
        <v>73</v>
      </c>
      <c r="D33" s="2">
        <v>3</v>
      </c>
      <c r="E33" s="2">
        <v>643.75</v>
      </c>
      <c r="F33" s="2">
        <f t="shared" si="3"/>
        <v>1931.25</v>
      </c>
      <c r="G33" s="13"/>
      <c r="K33" s="12"/>
    </row>
    <row r="34" ht="18.75" customHeight="1" spans="1:12">
      <c r="A34" s="2">
        <v>12</v>
      </c>
      <c r="B34" s="2" t="s">
        <v>80</v>
      </c>
      <c r="C34" s="8" t="s">
        <v>73</v>
      </c>
      <c r="D34" s="2">
        <v>9</v>
      </c>
      <c r="E34" s="2">
        <v>445</v>
      </c>
      <c r="F34" s="2">
        <f t="shared" si="3"/>
        <v>4005</v>
      </c>
      <c r="G34" s="13"/>
      <c r="K34" s="12"/>
    </row>
    <row r="35" ht="18.75" customHeight="1" spans="1:12">
      <c r="A35" s="2">
        <v>14</v>
      </c>
      <c r="B35" s="2" t="s">
        <v>81</v>
      </c>
      <c r="C35" s="8" t="s">
        <v>73</v>
      </c>
      <c r="D35" s="2">
        <v>18</v>
      </c>
      <c r="E35" s="2">
        <v>93.75</v>
      </c>
      <c r="F35" s="2">
        <f t="shared" si="3"/>
        <v>1687.5</v>
      </c>
      <c r="G35" s="13"/>
      <c r="K35" s="12"/>
    </row>
    <row r="36" spans="1:12">
      <c r="A36" s="2">
        <v>15</v>
      </c>
      <c r="B36" s="2" t="s">
        <v>82</v>
      </c>
      <c r="C36" s="8" t="s">
        <v>73</v>
      </c>
      <c r="D36" s="2">
        <v>0</v>
      </c>
      <c r="E36" s="2">
        <v>850</v>
      </c>
      <c r="F36" s="2">
        <f t="shared" si="3"/>
        <v>0</v>
      </c>
      <c r="K36" s="12"/>
    </row>
    <row r="37" spans="1:12">
      <c r="A37" s="2">
        <v>16</v>
      </c>
      <c r="B37" s="2" t="s">
        <v>83</v>
      </c>
      <c r="C37" s="8" t="s">
        <v>73</v>
      </c>
      <c r="D37" s="2">
        <v>10</v>
      </c>
      <c r="E37" s="2">
        <v>970</v>
      </c>
      <c r="F37" s="2">
        <f>E37*D37</f>
        <v>9700</v>
      </c>
    </row>
    <row r="38" spans="1:12">
      <c r="E38" s="2"/>
      <c r="F38" s="2">
        <f>SUM(F22:F37)</f>
        <v>1156508.75</v>
      </c>
    </row>
    <row r="39" ht="15.75" spans="1:12">
      <c r="A39"/>
      <c r="B39"/>
      <c r="C39"/>
      <c r="D39"/>
      <c r="E39" s="15" t="s">
        <v>84</v>
      </c>
      <c r="F39" s="2">
        <f>F38*5%</f>
        <v>57825.4375</v>
      </c>
    </row>
    <row r="40" ht="15.75" spans="1:12">
      <c r="A40"/>
      <c r="B40"/>
      <c r="C40"/>
      <c r="D40"/>
      <c r="E40" s="15" t="s">
        <v>65</v>
      </c>
      <c r="F40" s="2">
        <f>F38+F39</f>
        <v>1214334.1875</v>
      </c>
      <c r="H40" s="58">
        <f>L17-F40</f>
        <v>72.3000000000466</v>
      </c>
      <c r="L40" s="59"/>
    </row>
    <row r="41" spans="1:12">
      <c r="E41" s="17"/>
      <c r="F41" s="17"/>
    </row>
    <row r="43" spans="1:12">
      <c r="H43" s="16"/>
    </row>
  </sheetData>
  <autoFilter xmlns:etc="http://www.wps.cn/officeDocument/2017/etCustomData" ref="L4:L17" etc:filterBottomFollowUsedRange="0">
    <extLst/>
  </autoFilter>
  <mergeCells count="3">
    <mergeCell ref="C2:D2"/>
    <mergeCell ref="E2:F2"/>
    <mergeCell ref="B20:F20"/>
  </mergeCells>
  <hyperlinks>
    <hyperlink ref="B4" r:id="rId1" display="H-DPR-dpr-8808954450-2026-27"/>
    <hyperlink ref="B5" r:id="rId1" display="H-DPR-dpr-3389958369-2026-27"/>
    <hyperlink ref="B6" r:id="rId1" display="H-DPR-dpr-6428267253-2025-26"/>
    <hyperlink ref="B7" r:id="rId1" display="H-DPR-dpr-2982091794-2025-26"/>
    <hyperlink ref="B8" r:id="rId1" display="H-DPR-dpr-5163271981-2025-26"/>
    <hyperlink ref="B9" r:id="rId1" display="H-DPR-dpr-4367120894-2026-27"/>
    <hyperlink ref="B10" r:id="rId1" display="H-DPR-dpr-7548946111-2026-27"/>
    <hyperlink ref="B11" r:id="rId1" display="H-DPR-npy-6987569347-2026-27"/>
    <hyperlink ref="B12" r:id="rId1" display="H-DPR-npy-5935518057-2026-27"/>
    <hyperlink ref="B13" r:id="rId1" display="H-DPR-npy-7546755883-2026-27"/>
    <hyperlink ref="B14" r:id="rId1" display="H-DPR-npy-5599847953-2026-27"/>
    <hyperlink ref="B15" r:id="rId1" display="H-DPR-npy-7118316755-2026-27"/>
    <hyperlink ref="B16" r:id="rId1" display="H-DPR-npy-830976349-2026-27"/>
  </hyperlinks>
  <pageMargins left="0.33" right="0.13" top="0.5" bottom="0.25" header="0.5" footer="0.3"/>
  <pageSetup paperSize="1" orientation="portrait"/>
  <headerFooter/>
  <ignoredErrors>
    <ignoredError sqref="I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opLeftCell="A13" workbookViewId="0">
      <selection activeCell="D11" sqref="D11"/>
    </sheetView>
  </sheetViews>
  <sheetFormatPr defaultColWidth="9.14285714285714" defaultRowHeight="21" customHeight="1"/>
  <cols>
    <col min="2" max="2" width="36.7142857142857" customWidth="1"/>
    <col min="3" max="3" width="16.5714285714286" customWidth="1"/>
    <col min="4" max="4" width="9.85714285714286" customWidth="1"/>
    <col min="6" max="6" width="12.8571428571429"/>
    <col min="8" max="8" width="12.8571428571429"/>
  </cols>
  <sheetData>
    <row r="1" s="1" customFormat="1" customHeight="1" spans="1:11">
      <c r="A1" s="2"/>
      <c r="B1" s="3" t="s">
        <v>85</v>
      </c>
      <c r="C1" s="3"/>
      <c r="D1" s="3"/>
      <c r="E1" s="3"/>
      <c r="F1" s="3"/>
      <c r="G1" s="4"/>
      <c r="H1" s="5"/>
      <c r="K1" s="6"/>
    </row>
    <row r="2" s="1" customFormat="1" ht="21.95" customHeight="1" spans="1:11">
      <c r="A2" s="7" t="s">
        <v>60</v>
      </c>
      <c r="B2" s="7" t="s">
        <v>61</v>
      </c>
      <c r="C2" s="7" t="s">
        <v>62</v>
      </c>
      <c r="D2" s="7" t="s">
        <v>63</v>
      </c>
      <c r="E2" s="7" t="s">
        <v>64</v>
      </c>
      <c r="F2" s="7" t="s">
        <v>65</v>
      </c>
      <c r="G2" s="4"/>
      <c r="H2" s="5"/>
      <c r="J2" s="6"/>
    </row>
    <row r="3" ht="18.75" customHeight="1" spans="1:11">
      <c r="A3">
        <v>1</v>
      </c>
      <c r="B3" s="2" t="s">
        <v>86</v>
      </c>
      <c r="C3" s="8" t="s">
        <v>67</v>
      </c>
      <c r="D3" s="2">
        <v>86841</v>
      </c>
      <c r="E3" s="2">
        <v>10.85</v>
      </c>
      <c r="F3" s="2">
        <f t="shared" ref="F3:F12" si="0">D3*E3</f>
        <v>942224.85</v>
      </c>
      <c r="G3" s="9"/>
      <c r="H3" s="10"/>
    </row>
    <row r="4" ht="18.75" customHeight="1" spans="1:11">
      <c r="A4">
        <v>2</v>
      </c>
      <c r="B4" s="2" t="s">
        <v>87</v>
      </c>
      <c r="C4" s="8" t="s">
        <v>67</v>
      </c>
      <c r="D4" s="2">
        <v>0</v>
      </c>
      <c r="E4" s="11">
        <v>8.2</v>
      </c>
      <c r="F4" s="2">
        <f t="shared" si="0"/>
        <v>0</v>
      </c>
      <c r="G4" s="9"/>
      <c r="H4" s="10"/>
    </row>
    <row r="5" ht="18.75" customHeight="1" spans="1:11">
      <c r="A5">
        <v>3</v>
      </c>
      <c r="B5" s="2" t="s">
        <v>88</v>
      </c>
      <c r="C5" s="8" t="s">
        <v>67</v>
      </c>
      <c r="D5" s="2">
        <v>0</v>
      </c>
      <c r="E5" s="2">
        <v>11.3</v>
      </c>
      <c r="F5" s="2">
        <f t="shared" si="0"/>
        <v>0</v>
      </c>
      <c r="G5" s="9"/>
      <c r="H5" s="10">
        <f>F3+F4+F5+F6</f>
        <v>956266.85</v>
      </c>
    </row>
    <row r="6" ht="18.75" customHeight="1" spans="1:11">
      <c r="A6">
        <v>4</v>
      </c>
      <c r="B6" s="2" t="s">
        <v>71</v>
      </c>
      <c r="C6" s="8" t="s">
        <v>67</v>
      </c>
      <c r="D6" s="2">
        <v>1652</v>
      </c>
      <c r="E6" s="2">
        <v>8.5</v>
      </c>
      <c r="F6" s="2">
        <f t="shared" si="0"/>
        <v>14042</v>
      </c>
      <c r="G6" s="9"/>
      <c r="H6" s="10"/>
    </row>
    <row r="7" ht="18.75" customHeight="1" spans="1:11">
      <c r="A7">
        <v>5</v>
      </c>
      <c r="B7" s="2" t="s">
        <v>72</v>
      </c>
      <c r="C7" s="12" t="s">
        <v>73</v>
      </c>
      <c r="D7" s="2">
        <v>10</v>
      </c>
      <c r="E7" s="2">
        <v>2400</v>
      </c>
      <c r="F7" s="2">
        <f t="shared" si="0"/>
        <v>24000</v>
      </c>
      <c r="G7" s="9"/>
      <c r="H7" s="10"/>
    </row>
    <row r="8" ht="18.75" customHeight="1" spans="1:11">
      <c r="A8">
        <v>6</v>
      </c>
      <c r="B8" s="2" t="s">
        <v>89</v>
      </c>
      <c r="C8" s="12" t="s">
        <v>73</v>
      </c>
      <c r="D8" s="2">
        <v>0</v>
      </c>
      <c r="E8" s="2">
        <v>1400</v>
      </c>
      <c r="F8" s="2">
        <f t="shared" si="0"/>
        <v>0</v>
      </c>
      <c r="G8" s="9"/>
      <c r="H8" s="10"/>
    </row>
    <row r="9" ht="18.75" customHeight="1" spans="1:11">
      <c r="A9">
        <v>7</v>
      </c>
      <c r="B9" s="2" t="s">
        <v>74</v>
      </c>
      <c r="C9" s="8" t="s">
        <v>73</v>
      </c>
      <c r="D9" s="2">
        <v>11</v>
      </c>
      <c r="E9" s="2">
        <v>800</v>
      </c>
      <c r="F9" s="2">
        <f t="shared" si="0"/>
        <v>8800</v>
      </c>
      <c r="G9" s="9"/>
      <c r="H9" s="10"/>
    </row>
    <row r="10" ht="18.75" customHeight="1" spans="1:11">
      <c r="A10">
        <v>8</v>
      </c>
      <c r="B10" s="2" t="s">
        <v>75</v>
      </c>
      <c r="C10" s="12" t="s">
        <v>73</v>
      </c>
      <c r="D10" s="2">
        <v>10</v>
      </c>
      <c r="E10" s="2">
        <v>2500</v>
      </c>
      <c r="F10" s="2">
        <f t="shared" si="0"/>
        <v>25000</v>
      </c>
      <c r="G10" s="9"/>
      <c r="H10" s="10"/>
    </row>
    <row r="11" ht="18.75" customHeight="1" spans="1:11">
      <c r="A11">
        <v>9</v>
      </c>
      <c r="B11" s="2" t="s">
        <v>90</v>
      </c>
      <c r="C11" s="12" t="s">
        <v>73</v>
      </c>
      <c r="D11" s="2">
        <v>0</v>
      </c>
      <c r="E11" s="2">
        <v>2400</v>
      </c>
      <c r="F11" s="2">
        <f t="shared" si="0"/>
        <v>0</v>
      </c>
      <c r="G11" s="9"/>
      <c r="H11" s="10"/>
    </row>
    <row r="12" ht="18.75" customHeight="1" spans="1:11">
      <c r="A12">
        <v>10</v>
      </c>
      <c r="B12" s="2" t="s">
        <v>91</v>
      </c>
      <c r="C12" s="12" t="s">
        <v>67</v>
      </c>
      <c r="D12" s="2">
        <v>0</v>
      </c>
      <c r="E12" s="2">
        <v>63</v>
      </c>
      <c r="F12" s="2">
        <f t="shared" si="0"/>
        <v>0</v>
      </c>
      <c r="G12" s="9"/>
      <c r="H12" s="10"/>
    </row>
    <row r="13" ht="18.75" customHeight="1" spans="1:11">
      <c r="A13">
        <v>11</v>
      </c>
      <c r="B13" s="2" t="s">
        <v>76</v>
      </c>
      <c r="C13" s="8" t="s">
        <v>67</v>
      </c>
      <c r="D13" s="2">
        <v>1164</v>
      </c>
      <c r="E13" s="2">
        <v>80</v>
      </c>
      <c r="F13" s="2">
        <f t="shared" ref="F13:F15" si="1">D13*E13</f>
        <v>93120</v>
      </c>
      <c r="G13" s="9"/>
      <c r="H13" s="10"/>
    </row>
    <row r="14" ht="18.75" customHeight="1" spans="1:11">
      <c r="A14">
        <v>12</v>
      </c>
      <c r="B14" s="2" t="s">
        <v>77</v>
      </c>
      <c r="C14" s="8" t="s">
        <v>67</v>
      </c>
      <c r="D14" s="2">
        <v>186</v>
      </c>
      <c r="E14" s="2">
        <v>117</v>
      </c>
      <c r="F14" s="2">
        <f t="shared" si="1"/>
        <v>21762</v>
      </c>
      <c r="G14" s="9"/>
      <c r="H14" s="10"/>
    </row>
    <row r="15" ht="18.75" customHeight="1" spans="1:11">
      <c r="A15">
        <v>13</v>
      </c>
      <c r="B15" s="2" t="s">
        <v>78</v>
      </c>
      <c r="C15" s="8" t="s">
        <v>73</v>
      </c>
      <c r="D15" s="2">
        <v>11</v>
      </c>
      <c r="E15" s="2">
        <v>125</v>
      </c>
      <c r="F15" s="2">
        <f t="shared" si="1"/>
        <v>1375</v>
      </c>
      <c r="G15" s="13"/>
      <c r="H15" s="10"/>
    </row>
    <row r="16" ht="18.75" customHeight="1" spans="1:11">
      <c r="A16">
        <v>14</v>
      </c>
      <c r="B16" s="2" t="s">
        <v>79</v>
      </c>
      <c r="C16" s="8" t="s">
        <v>73</v>
      </c>
      <c r="D16" s="2">
        <v>3</v>
      </c>
      <c r="E16" s="2">
        <v>643.75</v>
      </c>
      <c r="F16" s="2">
        <f>E16*D16</f>
        <v>1931.25</v>
      </c>
      <c r="G16" s="13"/>
      <c r="H16" s="10"/>
    </row>
    <row r="17" ht="18.75" customHeight="1" spans="1:8">
      <c r="A17">
        <v>15</v>
      </c>
      <c r="B17" s="2" t="s">
        <v>80</v>
      </c>
      <c r="C17" s="8" t="s">
        <v>73</v>
      </c>
      <c r="D17" s="2">
        <v>13</v>
      </c>
      <c r="E17" s="2">
        <v>445</v>
      </c>
      <c r="F17" s="2">
        <f>D17*E17</f>
        <v>5785</v>
      </c>
      <c r="G17" s="13"/>
      <c r="H17" s="10" t="s">
        <v>92</v>
      </c>
    </row>
    <row r="18" ht="18.75" customHeight="1" spans="1:8">
      <c r="A18">
        <v>16</v>
      </c>
      <c r="B18" s="2" t="s">
        <v>93</v>
      </c>
      <c r="C18" s="8" t="s">
        <v>73</v>
      </c>
      <c r="D18" s="2">
        <v>8</v>
      </c>
      <c r="E18" s="2">
        <v>300</v>
      </c>
      <c r="F18" s="2">
        <f>E18*D18</f>
        <v>2400</v>
      </c>
      <c r="G18" s="13"/>
      <c r="H18" s="10"/>
    </row>
    <row r="19" ht="18.75" customHeight="1" spans="1:8">
      <c r="A19">
        <v>17</v>
      </c>
      <c r="B19" s="2" t="s">
        <v>81</v>
      </c>
      <c r="C19" s="8" t="s">
        <v>73</v>
      </c>
      <c r="D19" s="2">
        <v>26</v>
      </c>
      <c r="E19" s="2">
        <v>93.75</v>
      </c>
      <c r="F19" s="2">
        <f>D19*E19</f>
        <v>2437.5</v>
      </c>
      <c r="G19" s="13"/>
      <c r="H19" s="10"/>
    </row>
    <row r="20" ht="18.75" customHeight="1" spans="1:8">
      <c r="A20">
        <v>18</v>
      </c>
      <c r="B20" s="2" t="s">
        <v>94</v>
      </c>
      <c r="C20" s="8" t="s">
        <v>73</v>
      </c>
      <c r="D20" s="2">
        <v>0</v>
      </c>
      <c r="E20" s="2">
        <v>77.5</v>
      </c>
      <c r="F20" s="2">
        <f>D20*E20</f>
        <v>0</v>
      </c>
      <c r="G20" s="13"/>
      <c r="H20" s="10"/>
    </row>
    <row r="21" spans="1:8">
      <c r="A21">
        <v>19</v>
      </c>
      <c r="B21" s="2" t="s">
        <v>95</v>
      </c>
      <c r="C21" s="8" t="s">
        <v>73</v>
      </c>
      <c r="D21" s="2">
        <v>5</v>
      </c>
      <c r="E21" s="2">
        <v>650</v>
      </c>
      <c r="F21" s="2">
        <f>D21*E21</f>
        <v>3250</v>
      </c>
      <c r="G21" s="9"/>
      <c r="H21" s="10"/>
    </row>
    <row r="22" spans="1:8">
      <c r="A22">
        <v>20</v>
      </c>
      <c r="B22" s="2" t="s">
        <v>96</v>
      </c>
      <c r="C22" s="8" t="s">
        <v>73</v>
      </c>
      <c r="D22" s="2">
        <v>11</v>
      </c>
      <c r="E22" s="2">
        <v>950</v>
      </c>
      <c r="F22" s="2">
        <f>E22*D22</f>
        <v>10450</v>
      </c>
      <c r="G22" s="9"/>
      <c r="H22" s="10"/>
    </row>
    <row r="23" ht="15" spans="1:8">
      <c r="A23" s="9"/>
      <c r="B23" s="9"/>
      <c r="C23" s="9"/>
      <c r="D23" s="9"/>
      <c r="E23" s="2"/>
      <c r="F23" s="2">
        <f>SUM(F3:F22)</f>
        <v>1156577.6</v>
      </c>
      <c r="G23" s="9"/>
      <c r="H23" s="10"/>
    </row>
    <row r="24" ht="15" spans="1:8">
      <c r="A24" s="9"/>
      <c r="B24" s="9"/>
      <c r="C24" s="9"/>
      <c r="D24" s="9"/>
      <c r="E24" s="14">
        <v>0.05</v>
      </c>
      <c r="F24" s="2">
        <f>F23*5%</f>
        <v>57828.88</v>
      </c>
      <c r="G24" s="9"/>
      <c r="H24" s="10"/>
    </row>
    <row r="25" ht="15" spans="1:8">
      <c r="A25" s="9"/>
      <c r="B25" s="9"/>
      <c r="C25" s="9" t="s">
        <v>97</v>
      </c>
      <c r="D25" s="9"/>
      <c r="E25" s="2"/>
      <c r="F25" s="2">
        <f>F23+F24</f>
        <v>1214406.48</v>
      </c>
      <c r="G25" s="9"/>
      <c r="H25" s="10"/>
    </row>
    <row r="26" ht="15.75" spans="1:8">
      <c r="E26" s="15" t="s">
        <v>84</v>
      </c>
      <c r="F26" s="2">
        <f>F25*5%</f>
        <v>60720.324</v>
      </c>
      <c r="G26" s="9"/>
      <c r="H26" s="16"/>
    </row>
    <row r="27" ht="15.75" spans="1:8">
      <c r="E27" s="15" t="s">
        <v>65</v>
      </c>
      <c r="F27" s="2">
        <f>F25+F26</f>
        <v>1275126.804</v>
      </c>
      <c r="G27" s="9"/>
      <c r="H27" s="16"/>
    </row>
    <row r="28" ht="15" spans="1:8">
      <c r="A28" s="9"/>
      <c r="B28" s="9"/>
      <c r="C28" s="9"/>
      <c r="D28" s="9"/>
      <c r="E28" s="17"/>
      <c r="F28" s="17"/>
      <c r="G28" s="9"/>
      <c r="H28" s="10"/>
    </row>
  </sheetData>
  <mergeCells count="1">
    <mergeCell ref="B1:F1"/>
  </mergeCells>
  <pageMargins left="0.75" right="0.75" top="1" bottom="1" header="0.5" footer="0.5"/>
  <headerFooter/>
  <ignoredErrors>
    <ignoredError sqref="F16:F18 F2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p</cp:lastModifiedBy>
  <dcterms:created xsi:type="dcterms:W3CDTF">2006-09-16T00:00:00Z</dcterms:created>
  <dcterms:modified xsi:type="dcterms:W3CDTF">2026-08-17T04:24:10Z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FA294B86A3B148EBBAB949EDFF416E8D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